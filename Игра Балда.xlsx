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420" windowHeight="11020"/>
  </bookViews>
  <sheets>
    <sheet name="Игра Балда" sheetId="1" r:id="rId1"/>
    <sheet name="Рефлексия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7" i="1"/>
  <c r="G7" i="1"/>
  <c r="G8" i="1"/>
  <c r="G11" i="1"/>
  <c r="G12" i="1"/>
  <c r="G13" i="1"/>
  <c r="G14" i="1"/>
  <c r="G15" i="1"/>
  <c r="G16" i="1"/>
  <c r="G10" i="1"/>
  <c r="G9" i="1"/>
  <c r="M9" i="1" l="1"/>
  <c r="L9" i="1"/>
  <c r="K9" i="1"/>
  <c r="J9" i="1"/>
  <c r="I9" i="1"/>
  <c r="G17" i="1" l="1"/>
  <c r="Q17" i="1"/>
  <c r="H14" i="1" l="1"/>
</calcChain>
</file>

<file path=xl/sharedStrings.xml><?xml version="1.0" encoding="utf-8"?>
<sst xmlns="http://schemas.openxmlformats.org/spreadsheetml/2006/main" count="45" uniqueCount="33">
  <si>
    <t xml:space="preserve">Введите слово из 5-ти букв </t>
  </si>
  <si>
    <t>шесть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</si>
  <si>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</si>
  <si>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</si>
  <si>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</si>
  <si>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</si>
  <si>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</si>
  <si>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</si>
  <si>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</si>
  <si>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</si>
  <si>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</si>
  <si>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</si>
  <si>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м</t>
  </si>
  <si>
    <t>Месть</t>
  </si>
  <si>
    <t>Тесто</t>
  </si>
  <si>
    <t>о</t>
  </si>
  <si>
    <t>Тесть</t>
  </si>
  <si>
    <t>т</t>
  </si>
  <si>
    <t>р</t>
  </si>
  <si>
    <t>Баллы</t>
  </si>
  <si>
    <t>Команда 2</t>
  </si>
  <si>
    <t>Артем</t>
  </si>
  <si>
    <t>Знал</t>
  </si>
  <si>
    <t>Не знал</t>
  </si>
  <si>
    <t>Подсчет баллов по длине слова(=ДЛНСТР)</t>
  </si>
  <si>
    <t>Общая сумма баллов (=СУММ)</t>
  </si>
  <si>
    <t>Создание диграммы</t>
  </si>
  <si>
    <t>Защита ячеек</t>
  </si>
  <si>
    <t>Уведомления об ошибках</t>
  </si>
  <si>
    <t>Защита листа</t>
  </si>
  <si>
    <t>Разметка страницы (сетка)</t>
  </si>
  <si>
    <t>Вывод лидера по очкам (=ЕСЛИ)</t>
  </si>
  <si>
    <t>Вставка фигуры(стрелка)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</si>
</sst>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80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57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0" fillId="0" borderId="0" xfId="0" applyBorder="1" applyAlignment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0" fillId="0" borderId="5" xfId="0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/>
    <xf numFmtId="0" fontId="0" fillId="6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575"/>
      <color rgb="FFFF1111"/>
      <color rgb="FFFF3809"/>
      <color rgb="FFFF3300"/>
      <color rgb="FFF8F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Итоговые баллы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97C-4D30-94CC-724F90C4B8B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97C-4D30-94CC-724F90C4B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('Игра Балда'!$F$6,'Игра Балда'!$P$6)</c:f>
              <c:strCache>
                <c:ptCount val="2"/>
                <c:pt idx="0">
                  <c:v>Артем</c:v>
                </c:pt>
                <c:pt idx="1">
                  <c:v>Команда 2</c:v>
                </c:pt>
              </c:strCache>
            </c:strRef>
          </c:cat>
          <c:val>
            <c:numRef>
              <c:f>('Игра Балда'!$G$17,'Игра Балда'!$Q$17)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97C-4D30-94CC-724F90C4B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546432"/>
        <c:axId val="182549888"/>
      </c:barChart>
      <c:catAx>
        <c:axId val="1825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82549888"/>
        <c:crosses val="autoZero"/>
        <c:auto val="1"/>
        <c:lblAlgn val="ctr"/>
        <c:lblOffset val="100"/>
        <c:noMultiLvlLbl val="0"/>
      </c:catAx>
      <c:valAx>
        <c:axId val="182549888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825464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74916</xdr:colOff>
      <xdr:row>3</xdr:row>
      <xdr:rowOff>40698</xdr:rowOff>
    </xdr:from>
    <xdr:to>
      <xdr:col>9</xdr:col>
      <xdr:colOff>141475</xdr:colOff>
      <xdr:row>3</xdr:row>
      <xdr:rowOff>171235</xdr:rowOff>
    </xdr:to>
    <xdr:sp macro="" textlink="">
      <xdr:nvSpPr>
        <xdr:cNvPr id="4" name="Стрелка: вправо 3">
          <a:extLst>
            <a:ext uri="{FF2B5EF4-FFF2-40B4-BE49-F238E27FC236}">
              <a16:creationId xmlns:a16="http://schemas.microsoft.com/office/drawing/2014/main" xmlns="" id="{2C13590F-3BDB-4685-8595-8639593A0BAA}"/>
            </a:ext>
          </a:extLst>
        </xdr:cNvPr>
        <xdr:cNvSpPr/>
      </xdr:nvSpPr>
      <xdr:spPr>
        <a:xfrm>
          <a:off x="1905000" y="238690"/>
          <a:ext cx="259200" cy="13053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363415</xdr:colOff>
      <xdr:row>17</xdr:row>
      <xdr:rowOff>7325</xdr:rowOff>
    </xdr:from>
    <xdr:to>
      <xdr:col>15</xdr:col>
      <xdr:colOff>372940</xdr:colOff>
      <xdr:row>28</xdr:row>
      <xdr:rowOff>7326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260076E-C77D-47AA-8B5F-50875D39B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showRowColHeaders="0" tabSelected="1" topLeftCell="B1" zoomScale="130" zoomScaleNormal="130" workbookViewId="0">
      <selection activeCell="H14" sqref="H14:N14"/>
    </sheetView>
  </sheetViews>
  <sheetFormatPr defaultColWidth="0" defaultRowHeight="14.5" zeroHeight="1" x14ac:dyDescent="0.35"/>
  <cols>
    <col min="1" max="5" width="9.1796875" customWidth="1"/>
    <col min="6" max="6" width="10.26953125" customWidth="1"/>
    <col min="7" max="8" width="9.1796875" customWidth="1"/>
    <col min="9" max="13" width="2.81640625" customWidth="1"/>
    <col min="14" max="15" width="9.1796875" customWidth="1"/>
    <col min="16" max="16" width="10.453125" customWidth="1"/>
    <col min="17" max="21" width="9.1796875" customWidth="1"/>
    <col min="22" max="16384" width="9.1796875" hidden="1"/>
  </cols>
  <sheetData>
    <row r="1" spans="5:17" ht="15" x14ac:dyDescent="0.25"/>
    <row r="2" spans="5:17" ht="15" x14ac:dyDescent="0.25"/>
    <row r="3" spans="5:17" ht="15.75" thickBot="1" x14ac:dyDescent="0.3"/>
    <row r="4" spans="5:17" ht="15" thickBot="1" x14ac:dyDescent="0.4">
      <c r="F4" s="31" t="s">
        <v>0</v>
      </c>
      <c r="G4" s="31"/>
      <c r="H4" s="31"/>
      <c r="I4" s="1"/>
      <c r="J4" s="2"/>
      <c r="K4" s="28" t="s">
        <v>1</v>
      </c>
      <c r="L4" s="29"/>
      <c r="M4" s="30"/>
    </row>
    <row r="5" spans="5:17" ht="15" x14ac:dyDescent="0.25"/>
    <row r="6" spans="5:17" ht="14.25" customHeight="1" thickBot="1" x14ac:dyDescent="0.4">
      <c r="E6" s="4"/>
      <c r="F6" s="3" t="s">
        <v>21</v>
      </c>
      <c r="G6" s="5" t="s">
        <v>19</v>
      </c>
      <c r="O6" s="4"/>
      <c r="P6" s="3" t="s">
        <v>20</v>
      </c>
      <c r="Q6" s="5" t="s">
        <v>19</v>
      </c>
    </row>
    <row r="7" spans="5:17" x14ac:dyDescent="0.35">
      <c r="E7" s="6" t="s">
        <v>2</v>
      </c>
      <c r="F7" s="21" t="s">
        <v>13</v>
      </c>
      <c r="G7" s="22">
        <f>IF(LEN(F7)=5, 5,"")</f>
        <v>5</v>
      </c>
      <c r="I7" s="12"/>
      <c r="J7" s="13"/>
      <c r="K7" s="13"/>
      <c r="L7" s="13"/>
      <c r="M7" s="14"/>
      <c r="O7" s="6" t="s">
        <v>2</v>
      </c>
      <c r="P7" s="25" t="s">
        <v>16</v>
      </c>
      <c r="Q7" s="26">
        <f>IF(LEN(P7)=5, 5,"")</f>
        <v>5</v>
      </c>
    </row>
    <row r="8" spans="5:17" x14ac:dyDescent="0.35">
      <c r="E8" s="7" t="s">
        <v>3</v>
      </c>
      <c r="F8" s="23" t="s">
        <v>14</v>
      </c>
      <c r="G8" s="22">
        <f>IF(LEN(F8)=5, 5,"")</f>
        <v>5</v>
      </c>
      <c r="I8" s="15"/>
      <c r="J8" s="16" t="s">
        <v>12</v>
      </c>
      <c r="K8" s="16"/>
      <c r="L8" s="16" t="s">
        <v>15</v>
      </c>
      <c r="M8" s="17"/>
      <c r="O8" s="7" t="s">
        <v>3</v>
      </c>
      <c r="P8" s="27"/>
      <c r="Q8" s="26" t="str">
        <f t="shared" ref="Q8:Q16" si="0">IF(LEN(P8)=5, 5,"")</f>
        <v/>
      </c>
    </row>
    <row r="9" spans="5:17" ht="15" x14ac:dyDescent="0.25">
      <c r="E9" s="7" t="s">
        <v>4</v>
      </c>
      <c r="F9" s="23"/>
      <c r="G9" s="22" t="str">
        <f>IF(LEN(F9)=5, 5,"")</f>
        <v/>
      </c>
      <c r="I9" s="9" t="str">
        <f>MID(K4,1,1)</f>
        <v>ш</v>
      </c>
      <c r="J9" s="10" t="str">
        <f>MID(K4,2,1)</f>
        <v>е</v>
      </c>
      <c r="K9" s="10" t="str">
        <f>MID(K4,3,1)</f>
        <v>с</v>
      </c>
      <c r="L9" s="10" t="str">
        <f>MID(K4,4,1)</f>
        <v>т</v>
      </c>
      <c r="M9" s="11" t="str">
        <f>MID(K4,5,1)</f>
        <v>ь</v>
      </c>
      <c r="O9" s="7" t="s">
        <v>4</v>
      </c>
      <c r="P9" s="27"/>
      <c r="Q9" s="26" t="str">
        <f t="shared" si="0"/>
        <v/>
      </c>
    </row>
    <row r="10" spans="5:17" x14ac:dyDescent="0.35">
      <c r="E10" s="7" t="s">
        <v>5</v>
      </c>
      <c r="F10" s="23"/>
      <c r="G10" s="22" t="str">
        <f>IF(LEN(F10)=5, 5,"")</f>
        <v/>
      </c>
      <c r="I10" s="15"/>
      <c r="J10" s="16" t="s">
        <v>17</v>
      </c>
      <c r="K10" s="16" t="s">
        <v>18</v>
      </c>
      <c r="L10" s="16" t="s">
        <v>15</v>
      </c>
      <c r="M10" s="17"/>
      <c r="O10" s="7" t="s">
        <v>5</v>
      </c>
      <c r="P10" s="27"/>
      <c r="Q10" s="26" t="str">
        <f t="shared" si="0"/>
        <v/>
      </c>
    </row>
    <row r="11" spans="5:17" ht="15.75" thickBot="1" x14ac:dyDescent="0.3">
      <c r="E11" s="7" t="s">
        <v>6</v>
      </c>
      <c r="F11" s="23"/>
      <c r="G11" s="22" t="str">
        <f t="shared" ref="G11:G16" si="1">IF(LEN(F11)=5, 5,"")</f>
        <v/>
      </c>
      <c r="I11" s="18"/>
      <c r="J11" s="19"/>
      <c r="K11" s="19"/>
      <c r="L11" s="19"/>
      <c r="M11" s="20"/>
      <c r="O11" s="7" t="s">
        <v>6</v>
      </c>
      <c r="P11" s="27"/>
      <c r="Q11" s="26" t="str">
        <f t="shared" si="0"/>
        <v/>
      </c>
    </row>
    <row r="12" spans="5:17" ht="15" x14ac:dyDescent="0.25">
      <c r="E12" s="7" t="s">
        <v>7</v>
      </c>
      <c r="F12" s="23"/>
      <c r="G12" s="22" t="str">
        <f t="shared" si="1"/>
        <v/>
      </c>
      <c r="O12" s="7" t="s">
        <v>7</v>
      </c>
      <c r="P12" s="27"/>
      <c r="Q12" s="26" t="str">
        <f t="shared" si="0"/>
        <v/>
      </c>
    </row>
    <row r="13" spans="5:17" ht="15" x14ac:dyDescent="0.25">
      <c r="E13" s="7" t="s">
        <v>8</v>
      </c>
      <c r="F13" s="23"/>
      <c r="G13" s="22" t="str">
        <f t="shared" si="1"/>
        <v/>
      </c>
      <c r="O13" s="7" t="s">
        <v>8</v>
      </c>
      <c r="P13" s="27"/>
      <c r="Q13" s="26" t="str">
        <f t="shared" si="0"/>
        <v/>
      </c>
    </row>
    <row r="14" spans="5:17" ht="15" x14ac:dyDescent="0.25">
      <c r="E14" s="7" t="s">
        <v>9</v>
      </c>
      <c r="F14" s="23"/>
      <c r="G14" s="22" t="str">
        <f t="shared" si="1"/>
        <v/>
      </c>
      <c r="H14" s="32" t="str">
        <f>IF(G17&gt;Q17, "⬅Лидирует "&amp; F6,IF(Q17&gt;G17,"Лидирует "&amp; P6 &amp; "➡","Ничья" ))</f>
        <v>⬅Лидирует Артем</v>
      </c>
      <c r="I14" s="32"/>
      <c r="J14" s="32"/>
      <c r="K14" s="32"/>
      <c r="L14" s="32"/>
      <c r="M14" s="32"/>
      <c r="N14" s="32"/>
      <c r="O14" s="7" t="s">
        <v>9</v>
      </c>
      <c r="P14" s="27"/>
      <c r="Q14" s="26" t="str">
        <f t="shared" si="0"/>
        <v/>
      </c>
    </row>
    <row r="15" spans="5:17" ht="15" x14ac:dyDescent="0.25">
      <c r="E15" s="7" t="s">
        <v>10</v>
      </c>
      <c r="F15" s="23"/>
      <c r="G15" s="22" t="str">
        <f t="shared" si="1"/>
        <v/>
      </c>
      <c r="O15" s="7" t="s">
        <v>10</v>
      </c>
      <c r="P15" s="27"/>
      <c r="Q15" s="26" t="str">
        <f t="shared" si="0"/>
        <v/>
      </c>
    </row>
    <row r="16" spans="5:17" ht="15" x14ac:dyDescent="0.25">
      <c r="E16" s="7" t="s">
        <v>11</v>
      </c>
      <c r="F16" s="24"/>
      <c r="G16" s="22" t="str">
        <f t="shared" si="1"/>
        <v/>
      </c>
      <c r="O16" s="7" t="s">
        <v>11</v>
      </c>
      <c r="P16" s="27"/>
      <c r="Q16" s="26" t="str">
        <f t="shared" si="0"/>
        <v/>
      </c>
    </row>
    <row r="17" spans="7:17" ht="15" x14ac:dyDescent="0.25">
      <c r="G17" s="8">
        <f>SUM(G7:G16)</f>
        <v>10</v>
      </c>
      <c r="Q17" s="8">
        <f>SUM(Q7:Q16)</f>
        <v>5</v>
      </c>
    </row>
    <row r="18" spans="7:17" ht="15" x14ac:dyDescent="0.25"/>
    <row r="19" spans="7:17" ht="15" x14ac:dyDescent="0.25"/>
    <row r="20" spans="7:17" ht="15" x14ac:dyDescent="0.25"/>
    <row r="21" spans="7:17" ht="15" x14ac:dyDescent="0.25"/>
    <row r="22" spans="7:17" ht="15" x14ac:dyDescent="0.25"/>
    <row r="23" spans="7:17" ht="15" x14ac:dyDescent="0.25"/>
    <row r="24" spans="7:17" ht="15" x14ac:dyDescent="0.25"/>
    <row r="25" spans="7:17" ht="15" x14ac:dyDescent="0.25"/>
    <row r="26" spans="7:17" ht="15" x14ac:dyDescent="0.25"/>
    <row r="27" spans="7:17" ht="15" x14ac:dyDescent="0.25"/>
    <row r="28" spans="7:17" x14ac:dyDescent="0.35"/>
    <row r="29" spans="7:17" x14ac:dyDescent="0.35"/>
    <row r="33" ht="15" hidden="1" x14ac:dyDescent="0.25"/>
    <row r="34" ht="15" hidden="1" x14ac:dyDescent="0.25"/>
    <row r="35" ht="15" hidden="1" x14ac:dyDescent="0.25"/>
  </sheetData>
  <sheetProtection selectLockedCells="1"/>
  <mergeCells count="3">
    <mergeCell ref="K4:M4"/>
    <mergeCell ref="F4:H4"/>
    <mergeCell ref="H14:N14"/>
  </mergeCells>
  <dataValidations disablePrompts="1" count="1">
    <dataValidation type="textLength" operator="equal" allowBlank="1" showInputMessage="1" showErrorMessage="1" errorTitle="Ошибка ввода" error="Значение должно содержать ровно 5 символов!" sqref="F7:F16 P7:P16">
      <formula1>5</formula1>
    </dataValidation>
  </dataValidations>
  <pageMargins left="0.7" right="0.7" top="0.75" bottom="0.75" header="0.3" footer="0.3"/>
  <pageSetup paperSize="9" orientation="portrait" horizontalDpi="300" r:id="rId1"/>
  <ignoredErrors>
    <ignoredError sqref="G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workbookViewId="0">
      <selection activeCell="E12" sqref="E12"/>
    </sheetView>
  </sheetViews>
  <sheetFormatPr defaultRowHeight="14.5" x14ac:dyDescent="0.35"/>
  <sheetData>
    <row r="2" spans="2:11" x14ac:dyDescent="0.35">
      <c r="B2" s="35" t="s">
        <v>24</v>
      </c>
      <c r="C2" s="35"/>
      <c r="D2" s="35"/>
      <c r="E2" s="35"/>
      <c r="F2" s="35"/>
      <c r="J2" s="33"/>
      <c r="K2" t="s">
        <v>22</v>
      </c>
    </row>
    <row r="3" spans="2:11" x14ac:dyDescent="0.35">
      <c r="B3" s="35" t="s">
        <v>25</v>
      </c>
      <c r="C3" s="35"/>
      <c r="D3" s="35"/>
      <c r="E3" s="35"/>
      <c r="F3" s="35"/>
      <c r="J3" s="34"/>
      <c r="K3" t="s">
        <v>23</v>
      </c>
    </row>
    <row r="4" spans="2:11" x14ac:dyDescent="0.35">
      <c r="B4" s="34" t="s">
        <v>26</v>
      </c>
      <c r="C4" s="34"/>
      <c r="D4" s="34"/>
      <c r="E4" s="34"/>
      <c r="F4" s="34"/>
    </row>
    <row r="5" spans="2:11" x14ac:dyDescent="0.35">
      <c r="B5" s="35" t="s">
        <v>31</v>
      </c>
      <c r="C5" s="35"/>
      <c r="D5" s="35"/>
      <c r="E5" s="35"/>
      <c r="F5" s="35"/>
    </row>
    <row r="6" spans="2:11" x14ac:dyDescent="0.35">
      <c r="B6" s="34" t="s">
        <v>27</v>
      </c>
      <c r="C6" s="34"/>
      <c r="D6" s="34"/>
      <c r="E6" s="34"/>
      <c r="F6" s="34"/>
    </row>
    <row r="7" spans="2:11" x14ac:dyDescent="0.35">
      <c r="B7" s="34" t="s">
        <v>28</v>
      </c>
      <c r="C7" s="34"/>
      <c r="D7" s="34"/>
      <c r="E7" s="34"/>
      <c r="F7" s="34"/>
    </row>
    <row r="8" spans="2:11" x14ac:dyDescent="0.35">
      <c r="B8" s="35" t="s">
        <v>32</v>
      </c>
      <c r="C8" s="35"/>
      <c r="D8" s="35"/>
      <c r="E8" s="35"/>
      <c r="F8" s="35"/>
    </row>
    <row r="9" spans="2:11" x14ac:dyDescent="0.35">
      <c r="B9" s="34" t="s">
        <v>29</v>
      </c>
      <c r="C9" s="34"/>
      <c r="D9" s="34"/>
      <c r="E9" s="34"/>
      <c r="F9" s="34"/>
    </row>
    <row r="10" spans="2:11" x14ac:dyDescent="0.35">
      <c r="B10" s="35" t="s">
        <v>30</v>
      </c>
      <c r="C10" s="35"/>
      <c r="D10" s="35"/>
      <c r="E10" s="35"/>
      <c r="F10" s="3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Игра Балда</vt:lpstr>
      <vt:lpstr>Рефлексия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Дражин</dc:creator>
  <cp:lastModifiedBy>Дмитрий Титов</cp:lastModifiedBy>
  <dcterms:created xsi:type="dcterms:W3CDTF">2026-02-07T11:43:26Z</dcterms:created>
  <dcterms:modified xsi:type="dcterms:W3CDTF">2026-03-21T10:20:31Z</dcterms:modified>
</cp:coreProperties>
</file>