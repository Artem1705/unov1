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\Downloads\"/>
    </mc:Choice>
  </mc:AlternateContent>
  <xr:revisionPtr revIDLastSave="0" documentId="13_ncr:1_{28014043-B72E-446C-8A3B-F7B516B95571}" xr6:coauthVersionLast="47" xr6:coauthVersionMax="47" xr10:uidLastSave="{00000000-0000-0000-0000-000000000000}"/>
  <bookViews>
    <workbookView xWindow="-120" yWindow="-120" windowWidth="29040" windowHeight="15720" xr2:uid="{466CC281-BF20-4ADF-B774-49423D84E4E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8" i="1" l="1"/>
  <c r="G9" i="1"/>
  <c r="G10" i="1"/>
  <c r="G11" i="1"/>
  <c r="G12" i="1"/>
  <c r="G13" i="1"/>
  <c r="G14" i="1"/>
  <c r="G15" i="1"/>
  <c r="G16" i="1"/>
  <c r="G7" i="1"/>
  <c r="Q7" i="1"/>
  <c r="Q16" i="1"/>
  <c r="Q15" i="1"/>
  <c r="Q14" i="1"/>
  <c r="Q13" i="1"/>
  <c r="Q12" i="1"/>
  <c r="Q11" i="1"/>
  <c r="Q10" i="1"/>
  <c r="Q9" i="1"/>
  <c r="Q8" i="1"/>
  <c r="M9" i="1"/>
  <c r="L9" i="1"/>
  <c r="K9" i="1"/>
  <c r="J9" i="1"/>
  <c r="I9" i="1"/>
  <c r="G17" i="1" l="1"/>
  <c r="Q17" i="1"/>
  <c r="H14" i="1" s="1"/>
</calcChain>
</file>

<file path=xl/sharedStrings.xml><?xml version="1.0" encoding="utf-8"?>
<sst xmlns="http://schemas.openxmlformats.org/spreadsheetml/2006/main" count="42" uniqueCount="30">
  <si>
    <t xml:space="preserve">Введите слово из 5-ти букв </t>
  </si>
  <si>
    <t>шесть</t>
  </si>
  <si>
    <t>Команда 1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</si>
  <si>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</si>
  <si>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</si>
  <si>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</si>
  <si>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</si>
  <si>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</si>
  <si>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</si>
  <si>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</si>
  <si>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</si>
  <si>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</si>
  <si>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</si>
  <si>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м</t>
  </si>
  <si>
    <t>Месть</t>
  </si>
  <si>
    <t>Тесто</t>
  </si>
  <si>
    <t>о</t>
  </si>
  <si>
    <t>Тесть</t>
  </si>
  <si>
    <t>т</t>
  </si>
  <si>
    <t>р</t>
  </si>
  <si>
    <t>Место</t>
  </si>
  <si>
    <t>Трон</t>
  </si>
  <si>
    <t>Метро</t>
  </si>
  <si>
    <t>Баллы</t>
  </si>
  <si>
    <t>Команда 2</t>
  </si>
  <si>
    <t>вып</t>
  </si>
  <si>
    <t>ваып</t>
  </si>
  <si>
    <t>выап</t>
  </si>
  <si>
    <t>ывпа</t>
  </si>
  <si>
    <t>ывап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</si>
</sst>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indexed="64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/>
    <xf numFmtId="0" fontId="0" fillId="0" borderId="0" xfId="0" applyBorder="1" applyAlignment="1"/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0" xfId="0" applyFont="1" applyBorder="1"/>
    <xf numFmtId="0" fontId="1" fillId="0" borderId="12" xfId="0" applyFont="1" applyBorder="1"/>
    <xf numFmtId="0" fontId="1" fillId="0" borderId="11" xfId="0" applyFont="1" applyBorder="1" applyAlignment="1">
      <alignment horizontal="center"/>
    </xf>
    <xf numFmtId="0" fontId="1" fillId="0" borderId="13" xfId="0" applyFont="1" applyBorder="1" applyAlignment="1">
      <alignment horizontal="right"/>
    </xf>
    <xf numFmtId="0" fontId="1" fillId="0" borderId="14" xfId="0" applyFont="1" applyBorder="1" applyAlignment="1">
      <alignment horizontal="right"/>
    </xf>
    <xf numFmtId="0" fontId="0" fillId="0" borderId="5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1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18" xfId="0" applyBorder="1" applyAlignment="1" applyProtection="1">
      <alignment horizontal="center"/>
      <protection locked="0"/>
    </xf>
    <xf numFmtId="0" fontId="1" fillId="2" borderId="15" xfId="0" applyFont="1" applyFill="1" applyBorder="1" applyAlignment="1" applyProtection="1">
      <alignment horizontal="center" vertical="center"/>
      <protection locked="0"/>
    </xf>
    <xf numFmtId="0" fontId="1" fillId="2" borderId="16" xfId="0" applyFont="1" applyFill="1" applyBorder="1" applyAlignment="1" applyProtection="1">
      <alignment horizontal="center" vertical="center"/>
      <protection locked="0"/>
    </xf>
    <xf numFmtId="0" fontId="1" fillId="2" borderId="17" xfId="0" applyFont="1" applyFill="1" applyBorder="1" applyAlignment="1" applyProtection="1">
      <alignment horizontal="center" vertical="center"/>
      <protection locked="0"/>
    </xf>
    <xf numFmtId="0" fontId="1" fillId="2" borderId="18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2" borderId="19" xfId="0" applyFont="1" applyFill="1" applyBorder="1" applyAlignment="1" applyProtection="1">
      <alignment horizontal="center" vertical="center"/>
      <protection locked="0"/>
    </xf>
    <xf numFmtId="0" fontId="1" fillId="2" borderId="20" xfId="0" applyFont="1" applyFill="1" applyBorder="1" applyAlignment="1" applyProtection="1">
      <alignment horizontal="center" vertical="center"/>
      <protection locked="0"/>
    </xf>
    <xf numFmtId="0" fontId="1" fillId="2" borderId="21" xfId="0" applyFont="1" applyFill="1" applyBorder="1" applyAlignment="1" applyProtection="1">
      <alignment horizontal="center" vertical="center"/>
      <protection locked="0"/>
    </xf>
    <xf numFmtId="0" fontId="1" fillId="2" borderId="22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2">
    <dxf>
      <font>
        <b/>
        <i val="0"/>
        <strike val="0"/>
        <color theme="1"/>
      </font>
      <fill>
        <patternFill>
          <bgColor rgb="FFFFFF00"/>
        </patternFill>
      </fill>
    </dxf>
    <dxf>
      <font>
        <b/>
        <i val="0"/>
      </font>
      <fill>
        <patternFill>
          <bgColor rgb="FFF8F200"/>
        </patternFill>
      </fill>
    </dxf>
  </dxfs>
  <tableStyles count="0" defaultTableStyle="TableStyleMedium2" defaultPivotStyle="PivotStyleLight16"/>
  <colors>
    <mruColors>
      <color rgb="FFF8F2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Итоговые баллы</c:v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97C-4D30-94CC-724F90C4B8BB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97C-4D30-94CC-724F90C4B8B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(Лист1!$F$6,Лист1!$P$6)</c:f>
              <c:strCache>
                <c:ptCount val="2"/>
                <c:pt idx="0">
                  <c:v>Команда 1</c:v>
                </c:pt>
                <c:pt idx="1">
                  <c:v>Команда 2</c:v>
                </c:pt>
              </c:strCache>
            </c:strRef>
          </c:cat>
          <c:val>
            <c:numRef>
              <c:f>(Лист1!$G$17,Лист1!$Q$17)</c:f>
              <c:numCache>
                <c:formatCode>General</c:formatCode>
                <c:ptCount val="2"/>
                <c:pt idx="0">
                  <c:v>34</c:v>
                </c:pt>
                <c:pt idx="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7C-4D30-94CC-724F90C4B8B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89268831"/>
        <c:axId val="289270079"/>
      </c:barChart>
      <c:catAx>
        <c:axId val="289268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289270079"/>
        <c:crosses val="autoZero"/>
        <c:auto val="1"/>
        <c:lblAlgn val="ctr"/>
        <c:lblOffset val="100"/>
        <c:noMultiLvlLbl val="0"/>
      </c:catAx>
      <c:valAx>
        <c:axId val="289270079"/>
        <c:scaling>
          <c:orientation val="minMax"/>
          <c:min val="0"/>
        </c:scaling>
        <c:delete val="1"/>
        <c:axPos val="l"/>
        <c:numFmt formatCode="General" sourceLinked="1"/>
        <c:majorTickMark val="none"/>
        <c:minorTickMark val="none"/>
        <c:tickLblPos val="nextTo"/>
        <c:crossAx val="28926883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74916</xdr:colOff>
      <xdr:row>3</xdr:row>
      <xdr:rowOff>40698</xdr:rowOff>
    </xdr:from>
    <xdr:to>
      <xdr:col>9</xdr:col>
      <xdr:colOff>141475</xdr:colOff>
      <xdr:row>3</xdr:row>
      <xdr:rowOff>171235</xdr:rowOff>
    </xdr:to>
    <xdr:sp macro="" textlink="">
      <xdr:nvSpPr>
        <xdr:cNvPr id="4" name="Стрелка: вправо 3">
          <a:extLst>
            <a:ext uri="{FF2B5EF4-FFF2-40B4-BE49-F238E27FC236}">
              <a16:creationId xmlns:a16="http://schemas.microsoft.com/office/drawing/2014/main" id="{2C13590F-3BDB-4685-8595-8639593A0BAA}"/>
            </a:ext>
          </a:extLst>
        </xdr:cNvPr>
        <xdr:cNvSpPr/>
      </xdr:nvSpPr>
      <xdr:spPr>
        <a:xfrm>
          <a:off x="1905000" y="238690"/>
          <a:ext cx="259200" cy="130537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5</xdr:col>
      <xdr:colOff>363415</xdr:colOff>
      <xdr:row>17</xdr:row>
      <xdr:rowOff>7325</xdr:rowOff>
    </xdr:from>
    <xdr:to>
      <xdr:col>15</xdr:col>
      <xdr:colOff>372940</xdr:colOff>
      <xdr:row>28</xdr:row>
      <xdr:rowOff>7326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60076E-C77D-47AA-8B5F-50875D39BC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4D0FB-4B49-4FCE-AB9A-29C17ECB97D0}">
  <dimension ref="E1:Q35"/>
  <sheetViews>
    <sheetView showGridLines="0" showRowColHeaders="0" tabSelected="1" zoomScale="130" zoomScaleNormal="130" workbookViewId="0">
      <selection activeCell="J8" sqref="J8"/>
    </sheetView>
  </sheetViews>
  <sheetFormatPr defaultColWidth="0" defaultRowHeight="15" zeroHeight="1" x14ac:dyDescent="0.25"/>
  <cols>
    <col min="1" max="5" width="9.140625" customWidth="1"/>
    <col min="6" max="6" width="10.28515625" customWidth="1"/>
    <col min="7" max="8" width="9.140625" customWidth="1"/>
    <col min="9" max="13" width="2.85546875" customWidth="1"/>
    <col min="14" max="15" width="9.140625" customWidth="1"/>
    <col min="16" max="16" width="10.42578125" customWidth="1"/>
    <col min="17" max="21" width="9.140625" customWidth="1"/>
    <col min="22" max="16384" width="9.140625" hidden="1"/>
  </cols>
  <sheetData>
    <row r="1" spans="5:17" x14ac:dyDescent="0.25"/>
    <row r="2" spans="5:17" x14ac:dyDescent="0.25"/>
    <row r="3" spans="5:17" ht="15.75" thickBot="1" x14ac:dyDescent="0.3"/>
    <row r="4" spans="5:17" ht="15.75" thickBot="1" x14ac:dyDescent="0.3">
      <c r="F4" s="11" t="s">
        <v>0</v>
      </c>
      <c r="G4" s="11"/>
      <c r="H4" s="11"/>
      <c r="I4" s="1"/>
      <c r="J4" s="2"/>
      <c r="K4" s="16" t="s">
        <v>1</v>
      </c>
      <c r="L4" s="17"/>
      <c r="M4" s="18"/>
    </row>
    <row r="5" spans="5:17" x14ac:dyDescent="0.25"/>
    <row r="6" spans="5:17" ht="14.25" customHeight="1" thickBot="1" x14ac:dyDescent="0.3">
      <c r="E6" s="6"/>
      <c r="F6" s="5" t="s">
        <v>2</v>
      </c>
      <c r="G6" s="7" t="s">
        <v>23</v>
      </c>
      <c r="O6" s="6"/>
      <c r="P6" s="5" t="s">
        <v>24</v>
      </c>
      <c r="Q6" s="7" t="s">
        <v>23</v>
      </c>
    </row>
    <row r="7" spans="5:17" x14ac:dyDescent="0.25">
      <c r="E7" s="8" t="s">
        <v>3</v>
      </c>
      <c r="F7" s="19" t="s">
        <v>14</v>
      </c>
      <c r="G7" s="3">
        <f>IF(F7="", "",LEN(F7))</f>
        <v>5</v>
      </c>
      <c r="I7" s="22"/>
      <c r="J7" s="23"/>
      <c r="K7" s="23"/>
      <c r="L7" s="23"/>
      <c r="M7" s="24"/>
      <c r="O7" s="8" t="s">
        <v>3</v>
      </c>
      <c r="P7" s="19" t="s">
        <v>17</v>
      </c>
      <c r="Q7" s="3">
        <f>LEN(P7)</f>
        <v>5</v>
      </c>
    </row>
    <row r="8" spans="5:17" x14ac:dyDescent="0.25">
      <c r="E8" s="9" t="s">
        <v>4</v>
      </c>
      <c r="F8" s="20" t="s">
        <v>15</v>
      </c>
      <c r="G8" s="3">
        <f t="shared" ref="G8:G16" si="0">IF(F8="", "",LEN(F8))</f>
        <v>5</v>
      </c>
      <c r="I8" s="25"/>
      <c r="J8" s="26" t="s">
        <v>13</v>
      </c>
      <c r="K8" s="26"/>
      <c r="L8" s="26" t="s">
        <v>16</v>
      </c>
      <c r="M8" s="27"/>
      <c r="O8" s="9" t="s">
        <v>4</v>
      </c>
      <c r="P8" s="20" t="s">
        <v>20</v>
      </c>
      <c r="Q8" s="4">
        <f t="shared" ref="Q8:Q16" si="1">LEN(P8)</f>
        <v>5</v>
      </c>
    </row>
    <row r="9" spans="5:17" x14ac:dyDescent="0.25">
      <c r="E9" s="9" t="s">
        <v>5</v>
      </c>
      <c r="F9" s="20" t="s">
        <v>22</v>
      </c>
      <c r="G9" s="3">
        <f t="shared" si="0"/>
        <v>5</v>
      </c>
      <c r="I9" s="13" t="str">
        <f>MID(K4,1,1)</f>
        <v>ш</v>
      </c>
      <c r="J9" s="14" t="str">
        <f>MID(K4,2,1)</f>
        <v>е</v>
      </c>
      <c r="K9" s="14" t="str">
        <f>MID(K4,3,1)</f>
        <v>с</v>
      </c>
      <c r="L9" s="14" t="str">
        <f>MID(K4,4,1)</f>
        <v>т</v>
      </c>
      <c r="M9" s="15" t="str">
        <f>MID(K4,5,1)</f>
        <v>ь</v>
      </c>
      <c r="O9" s="9" t="s">
        <v>5</v>
      </c>
      <c r="P9" s="20" t="s">
        <v>21</v>
      </c>
      <c r="Q9" s="4">
        <f t="shared" si="1"/>
        <v>4</v>
      </c>
    </row>
    <row r="10" spans="5:17" x14ac:dyDescent="0.25">
      <c r="E10" s="9" t="s">
        <v>6</v>
      </c>
      <c r="F10" s="20" t="s">
        <v>25</v>
      </c>
      <c r="G10" s="3">
        <f t="shared" si="0"/>
        <v>3</v>
      </c>
      <c r="I10" s="25"/>
      <c r="J10" s="26" t="s">
        <v>18</v>
      </c>
      <c r="K10" s="26" t="s">
        <v>19</v>
      </c>
      <c r="L10" s="26" t="s">
        <v>16</v>
      </c>
      <c r="M10" s="27"/>
      <c r="O10" s="9" t="s">
        <v>6</v>
      </c>
      <c r="P10" s="20"/>
      <c r="Q10" s="4">
        <f t="shared" si="1"/>
        <v>0</v>
      </c>
    </row>
    <row r="11" spans="5:17" ht="15.75" thickBot="1" x14ac:dyDescent="0.3">
      <c r="E11" s="9" t="s">
        <v>7</v>
      </c>
      <c r="F11" s="20" t="s">
        <v>26</v>
      </c>
      <c r="G11" s="3">
        <f t="shared" si="0"/>
        <v>4</v>
      </c>
      <c r="I11" s="28"/>
      <c r="J11" s="29"/>
      <c r="K11" s="29"/>
      <c r="L11" s="29"/>
      <c r="M11" s="30"/>
      <c r="O11" s="9" t="s">
        <v>7</v>
      </c>
      <c r="P11" s="20"/>
      <c r="Q11" s="4">
        <f t="shared" si="1"/>
        <v>0</v>
      </c>
    </row>
    <row r="12" spans="5:17" x14ac:dyDescent="0.25">
      <c r="E12" s="9" t="s">
        <v>8</v>
      </c>
      <c r="F12" s="20" t="s">
        <v>27</v>
      </c>
      <c r="G12" s="3">
        <f t="shared" si="0"/>
        <v>4</v>
      </c>
      <c r="O12" s="9" t="s">
        <v>8</v>
      </c>
      <c r="P12" s="20"/>
      <c r="Q12" s="4">
        <f t="shared" si="1"/>
        <v>0</v>
      </c>
    </row>
    <row r="13" spans="5:17" x14ac:dyDescent="0.25">
      <c r="E13" s="9" t="s">
        <v>9</v>
      </c>
      <c r="F13" s="20" t="s">
        <v>28</v>
      </c>
      <c r="G13" s="3">
        <f t="shared" si="0"/>
        <v>4</v>
      </c>
      <c r="O13" s="9" t="s">
        <v>9</v>
      </c>
      <c r="P13" s="20"/>
      <c r="Q13" s="4">
        <f t="shared" si="1"/>
        <v>0</v>
      </c>
    </row>
    <row r="14" spans="5:17" x14ac:dyDescent="0.25">
      <c r="E14" s="9" t="s">
        <v>10</v>
      </c>
      <c r="F14" s="20" t="s">
        <v>29</v>
      </c>
      <c r="G14" s="3">
        <f t="shared" si="0"/>
        <v>4</v>
      </c>
      <c r="H14" s="12" t="str">
        <f>IF(G17&gt;Q17, "⬅Лидирует "&amp; F6,IF(Q17&gt;G17,"Лидирует "&amp; P6 &amp; "➡","Ничья" ))</f>
        <v>⬅Лидирует Команда 1</v>
      </c>
      <c r="I14" s="12"/>
      <c r="J14" s="12"/>
      <c r="K14" s="12"/>
      <c r="L14" s="12"/>
      <c r="M14" s="12"/>
      <c r="N14" s="12"/>
      <c r="O14" s="9" t="s">
        <v>10</v>
      </c>
      <c r="P14" s="20"/>
      <c r="Q14" s="4">
        <f t="shared" si="1"/>
        <v>0</v>
      </c>
    </row>
    <row r="15" spans="5:17" x14ac:dyDescent="0.25">
      <c r="E15" s="9" t="s">
        <v>11</v>
      </c>
      <c r="F15" s="20"/>
      <c r="G15" s="3" t="str">
        <f t="shared" si="0"/>
        <v/>
      </c>
      <c r="O15" s="9" t="s">
        <v>11</v>
      </c>
      <c r="P15" s="20"/>
      <c r="Q15" s="4">
        <f t="shared" si="1"/>
        <v>0</v>
      </c>
    </row>
    <row r="16" spans="5:17" x14ac:dyDescent="0.25">
      <c r="E16" s="9" t="s">
        <v>12</v>
      </c>
      <c r="F16" s="21"/>
      <c r="G16" s="3" t="str">
        <f t="shared" si="0"/>
        <v/>
      </c>
      <c r="O16" s="9" t="s">
        <v>12</v>
      </c>
      <c r="P16" s="20"/>
      <c r="Q16" s="4">
        <f t="shared" si="1"/>
        <v>0</v>
      </c>
    </row>
    <row r="17" spans="7:17" x14ac:dyDescent="0.25">
      <c r="G17" s="10">
        <f>SUM(G7:G16)</f>
        <v>34</v>
      </c>
      <c r="Q17" s="10">
        <f>SUM(Q7:Q16)</f>
        <v>14</v>
      </c>
    </row>
    <row r="18" spans="7:17" x14ac:dyDescent="0.25"/>
    <row r="19" spans="7:17" x14ac:dyDescent="0.25"/>
    <row r="20" spans="7:17" x14ac:dyDescent="0.25"/>
    <row r="21" spans="7:17" x14ac:dyDescent="0.25"/>
    <row r="22" spans="7:17" x14ac:dyDescent="0.25"/>
    <row r="23" spans="7:17" x14ac:dyDescent="0.25"/>
    <row r="24" spans="7:17" x14ac:dyDescent="0.25"/>
    <row r="25" spans="7:17" x14ac:dyDescent="0.25"/>
    <row r="26" spans="7:17" x14ac:dyDescent="0.25"/>
    <row r="27" spans="7:17" x14ac:dyDescent="0.25"/>
    <row r="28" spans="7:17" x14ac:dyDescent="0.25"/>
    <row r="29" spans="7:17" x14ac:dyDescent="0.25"/>
    <row r="33" customFormat="1" hidden="1" x14ac:dyDescent="0.25"/>
    <row r="34" customFormat="1" hidden="1" x14ac:dyDescent="0.25"/>
    <row r="35" customFormat="1" hidden="1" x14ac:dyDescent="0.25"/>
  </sheetData>
  <sheetProtection algorithmName="SHA-512" hashValue="+vEFXbSNMez0cIxdEq6UneMzQlyiMLxABHVlFI/ih44KFXGUnEo+O77RcEtk0cbNriU1Q872/K7yPE3mkBbuSQ==" saltValue="mWGp+KNxhlF84uYaKPQl1Q==" spinCount="100000" sheet="1" objects="1" scenarios="1" selectLockedCells="1"/>
  <mergeCells count="3">
    <mergeCell ref="K4:M4"/>
    <mergeCell ref="F4:H4"/>
    <mergeCell ref="H14:N14"/>
  </mergeCells>
  <pageMargins left="0.7" right="0.7" top="0.75" bottom="0.75" header="0.3" footer="0.3"/>
  <pageSetup paperSize="9" orientation="portrait" horizont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 Дражин</dc:creator>
  <cp:lastModifiedBy>Никита Дражин</cp:lastModifiedBy>
  <dcterms:created xsi:type="dcterms:W3CDTF">2026-02-07T11:43:26Z</dcterms:created>
  <dcterms:modified xsi:type="dcterms:W3CDTF">2026-02-13T21:35:32Z</dcterms:modified>
</cp:coreProperties>
</file>